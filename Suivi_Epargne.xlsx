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d" sheetId="1" state="visible" r:id="rId3"/>
    <sheet name="Juin 2026" sheetId="2" state="visible" r:id="rId4"/>
    <sheet name="Juillet 2026" sheetId="3" state="visible" r:id="rId5"/>
    <sheet name="Août 2026" sheetId="4" state="visible" r:id="rId6"/>
    <sheet name="Septembre 2026" sheetId="5" state="visible" r:id="rId7"/>
    <sheet name="Octobre 2026" sheetId="6" state="visible" r:id="rId8"/>
    <sheet name="Novembre 2026" sheetId="7" state="visible" r:id="rId9"/>
    <sheet name="Décembre 2026" sheetId="8" state="visible" r:id="rId10"/>
    <sheet name="Janvier 2027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<sst xmlns="http://schemas.openxmlformats.org/spreadsheetml/2006/main" count="149" uniqueCount="72">
  <si>
    <t xml:space="preserve">MON ÉPARGNE — OBJECTIF JANVIER 2027</t>
  </si>
  <si>
    <t xml:space="preserve">PARAMÈTRES</t>
  </si>
  <si>
    <t xml:space="preserve">RÉCAP PAR MOIS</t>
  </si>
  <si>
    <t xml:space="preserve">Taux horaire</t>
  </si>
  <si>
    <t xml:space="preserve">Juin 2026</t>
  </si>
  <si>
    <t xml:space="preserve">Leasing /mois</t>
  </si>
  <si>
    <t xml:space="preserve">Juillet 2026</t>
  </si>
  <si>
    <t xml:space="preserve">Assurance /mois</t>
  </si>
  <si>
    <t xml:space="preserve">Août 2026</t>
  </si>
  <si>
    <t xml:space="preserve">Abonnements /mois</t>
  </si>
  <si>
    <t xml:space="preserve">Septembre 2026</t>
  </si>
  <si>
    <t xml:space="preserve">Espèces de départ</t>
  </si>
  <si>
    <t xml:space="preserve">Octobre 2026</t>
  </si>
  <si>
    <t xml:space="preserve">Objectif</t>
  </si>
  <si>
    <t xml:space="preserve">Novembre 2026</t>
  </si>
  <si>
    <t xml:space="preserve">Charge /semaine</t>
  </si>
  <si>
    <t xml:space="preserve">Décembre 2026</t>
  </si>
  <si>
    <t xml:space="preserve">MON MAGOT ACTUEL</t>
  </si>
  <si>
    <t xml:space="preserve">Janvier 2027</t>
  </si>
  <si>
    <t xml:space="preserve">TOTAL épargné</t>
  </si>
  <si>
    <t xml:space="preserve">PROJECTION JANVIER</t>
  </si>
  <si>
    <t xml:space="preserve">PROGRESSION</t>
  </si>
  <si>
    <t xml:space="preserve">JUIN 2026</t>
  </si>
  <si>
    <t xml:space="preserve">Épargne du mois →</t>
  </si>
  <si>
    <t xml:space="preserve">Remplis les cases bleues chaque dimanche soir.</t>
  </si>
  <si>
    <t xml:space="preserve">Dimanche</t>
  </si>
  <si>
    <t xml:space="preserve">Facture €</t>
  </si>
  <si>
    <t xml:space="preserve">Heures</t>
  </si>
  <si>
    <t xml:space="preserve">Cash €</t>
  </si>
  <si>
    <t xml:space="preserve">Essence</t>
  </si>
  <si>
    <t xml:space="preserve">Bouffe</t>
  </si>
  <si>
    <t xml:space="preserve">Autres</t>
  </si>
  <si>
    <t xml:space="preserve">Décoff.</t>
  </si>
  <si>
    <t xml:space="preserve">Épargne</t>
  </si>
  <si>
    <t xml:space="preserve">14/06</t>
  </si>
  <si>
    <t xml:space="preserve">21/06</t>
  </si>
  <si>
    <t xml:space="preserve">28/06</t>
  </si>
  <si>
    <t xml:space="preserve">JUILLET 2026</t>
  </si>
  <si>
    <t xml:space="preserve">05/07</t>
  </si>
  <si>
    <t xml:space="preserve">12/07</t>
  </si>
  <si>
    <t xml:space="preserve">19/07</t>
  </si>
  <si>
    <t xml:space="preserve">26/07</t>
  </si>
  <si>
    <t xml:space="preserve">AOÛT 2026</t>
  </si>
  <si>
    <t xml:space="preserve">02/08</t>
  </si>
  <si>
    <t xml:space="preserve">09/08</t>
  </si>
  <si>
    <t xml:space="preserve">16/08</t>
  </si>
  <si>
    <t xml:space="preserve">23/08</t>
  </si>
  <si>
    <t xml:space="preserve">30/08</t>
  </si>
  <si>
    <t xml:space="preserve">SEPTEMBRE 2026</t>
  </si>
  <si>
    <t xml:space="preserve">06/09</t>
  </si>
  <si>
    <t xml:space="preserve">13/09</t>
  </si>
  <si>
    <t xml:space="preserve">20/09</t>
  </si>
  <si>
    <t xml:space="preserve">27/09</t>
  </si>
  <si>
    <t xml:space="preserve">OCTOBRE 2026</t>
  </si>
  <si>
    <t xml:space="preserve">04/10</t>
  </si>
  <si>
    <t xml:space="preserve">11/10</t>
  </si>
  <si>
    <t xml:space="preserve">18/10</t>
  </si>
  <si>
    <t xml:space="preserve">25/10</t>
  </si>
  <si>
    <t xml:space="preserve">NOVEMBRE 2026</t>
  </si>
  <si>
    <t xml:space="preserve">01/11</t>
  </si>
  <si>
    <t xml:space="preserve">08/11</t>
  </si>
  <si>
    <t xml:space="preserve">15/11</t>
  </si>
  <si>
    <t xml:space="preserve">22/11</t>
  </si>
  <si>
    <t xml:space="preserve">29/11</t>
  </si>
  <si>
    <t xml:space="preserve">DÉCEMBRE 2026</t>
  </si>
  <si>
    <t xml:space="preserve">06/12</t>
  </si>
  <si>
    <t xml:space="preserve">13/12</t>
  </si>
  <si>
    <t xml:space="preserve">20/12</t>
  </si>
  <si>
    <t xml:space="preserve">27/12</t>
  </si>
  <si>
    <t xml:space="preserve">JANVIER 2027</t>
  </si>
  <si>
    <t xml:space="preserve">03/01</t>
  </si>
  <si>
    <t xml:space="preserve">10/01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</si>
</sst>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#,##0&quot; €&quot;"/>
    <numFmt numFmtId="167" formatCode="0%"/>
    <numFmt numFmtId="168" formatCode="0.0&quot; h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563EB"/>
      <name val="Arial"/>
      <family val="0"/>
      <charset val="1"/>
    </font>
    <font>
      <sz val="10"/>
      <color rgb="FF16A3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8"/>
      <color rgb="FF16A34A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8"/>
      <color rgb="FF2563EB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6"/>
      <color rgb="FFB4530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3"/>
      <color rgb="FF16A34A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1F5F9"/>
        <bgColor rgb="FFFFFFFF"/>
      </patternFill>
    </fill>
    <fill>
      <patternFill patternType="solid">
        <fgColor rgb="FFDBEAFE"/>
        <bgColor rgb="FFF1F5F9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03300"/>
      <rgbColor rgb="FF333300"/>
      <rgbColor rgb="FFB45309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6" min="3" style="0" width="13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</row>
    <row r="3" customFormat="false" ht="15" hidden="false" customHeight="false" outlineLevel="0" collapsed="false">
      <c r="B3" s="2" t="s">
        <v>1</v>
      </c>
      <c r="C3" s="2"/>
      <c r="E3" s="2" t="s">
        <v>2</v>
      </c>
      <c r="F3" s="2"/>
    </row>
    <row r="4" customFormat="false" ht="15" hidden="false" customHeight="false" outlineLevel="0" collapsed="false">
      <c r="B4" s="3" t="s">
        <v>3</v>
      </c>
      <c r="C4" s="4" t="n">
        <v>32.3</v>
      </c>
      <c r="E4" s="3" t="s">
        <v>4</v>
      </c>
      <c r="F4" s="5" t="n">
        <f aca="false">'Juin 2026'!$G$1</f>
        <v>0</v>
      </c>
    </row>
    <row r="5" customFormat="false" ht="15" hidden="false" customHeight="false" outlineLevel="0" collapsed="false">
      <c r="B5" s="3" t="s">
        <v>5</v>
      </c>
      <c r="C5" s="6" t="n">
        <v>485</v>
      </c>
      <c r="E5" s="3" t="s">
        <v>6</v>
      </c>
      <c r="F5" s="5" t="n">
        <f aca="false">'Juillet 2026'!$G$1</f>
        <v>0</v>
      </c>
    </row>
    <row r="6" customFormat="false" ht="15" hidden="false" customHeight="false" outlineLevel="0" collapsed="false">
      <c r="B6" s="3" t="s">
        <v>7</v>
      </c>
      <c r="C6" s="6" t="n">
        <v>250</v>
      </c>
      <c r="E6" s="3" t="s">
        <v>8</v>
      </c>
      <c r="F6" s="5" t="n">
        <f aca="false">'Août 2026'!$G$1</f>
        <v>0</v>
      </c>
    </row>
    <row r="7" customFormat="false" ht="15" hidden="false" customHeight="false" outlineLevel="0" collapsed="false">
      <c r="B7" s="3" t="s">
        <v>9</v>
      </c>
      <c r="C7" s="6" t="n">
        <v>300</v>
      </c>
      <c r="E7" s="3" t="s">
        <v>10</v>
      </c>
      <c r="F7" s="5" t="n">
        <f aca="false">'Septembre 2026'!$G$1</f>
        <v>0</v>
      </c>
    </row>
    <row r="8" customFormat="false" ht="15" hidden="false" customHeight="false" outlineLevel="0" collapsed="false">
      <c r="B8" s="3" t="s">
        <v>11</v>
      </c>
      <c r="C8" s="6" t="n">
        <v>1000</v>
      </c>
      <c r="E8" s="3" t="s">
        <v>12</v>
      </c>
      <c r="F8" s="5" t="n">
        <f aca="false">'Octobre 2026'!$G$1</f>
        <v>0</v>
      </c>
    </row>
    <row r="9" customFormat="false" ht="15" hidden="false" customHeight="false" outlineLevel="0" collapsed="false">
      <c r="B9" s="3" t="s">
        <v>13</v>
      </c>
      <c r="C9" s="6" t="n">
        <v>8000</v>
      </c>
      <c r="E9" s="3" t="s">
        <v>14</v>
      </c>
      <c r="F9" s="5" t="n">
        <f aca="false">'Novembre 2026'!$G$1</f>
        <v>0</v>
      </c>
    </row>
    <row r="10" customFormat="false" ht="15" hidden="false" customHeight="false" outlineLevel="0" collapsed="false">
      <c r="B10" s="7" t="s">
        <v>15</v>
      </c>
      <c r="C10" s="8" t="n">
        <f aca="false">(C5+C6+C7)*12/52</f>
        <v>238.846153846154</v>
      </c>
      <c r="E10" s="3" t="s">
        <v>16</v>
      </c>
      <c r="F10" s="5" t="n">
        <f aca="false">'Décembre 2026'!$G$1</f>
        <v>0</v>
      </c>
    </row>
    <row r="11" customFormat="false" ht="15" hidden="false" customHeight="false" outlineLevel="0" collapsed="false">
      <c r="B11" s="9" t="s">
        <v>17</v>
      </c>
      <c r="C11" s="9"/>
      <c r="E11" s="3" t="s">
        <v>18</v>
      </c>
      <c r="F11" s="5" t="n">
        <f aca="false">'Janvier 2027'!$G$1</f>
        <v>0</v>
      </c>
    </row>
    <row r="12" customFormat="false" ht="25.5" hidden="false" customHeight="true" outlineLevel="0" collapsed="false">
      <c r="B12" s="10" t="n">
        <f aca="false">Bord!$C$8+('Juin 2026'!$G$1+'Juillet 2026'!$G$1+'Août 2026'!$G$1+'Septembre 2026'!$G$1+'Octobre 2026'!$G$1+'Novembre 2026'!$G$1+'Décembre 2026'!$G$1+'Janvier 2027'!$G$1)</f>
        <v>1000</v>
      </c>
      <c r="C12" s="10"/>
      <c r="E12" s="11" t="s">
        <v>19</v>
      </c>
      <c r="F12" s="12" t="n">
        <f aca="false">SUM(F4:F11)</f>
        <v>0</v>
      </c>
    </row>
    <row r="13" customFormat="false" ht="15" hidden="false" customHeight="false" outlineLevel="0" collapsed="false">
      <c r="B13" s="13" t="s">
        <v>20</v>
      </c>
      <c r="C13" s="13"/>
    </row>
    <row r="14" customFormat="false" ht="25.5" hidden="false" customHeight="true" outlineLevel="0" collapsed="false">
      <c r="B14" s="14" t="n">
        <f aca="false">IFERROR(Bord!$C$8+('Juin 2026'!$G$1+'Juillet 2026'!$G$1+'Août 2026'!$G$1+'Septembre 2026'!$G$1+'Octobre 2026'!$G$1+'Novembre 2026'!$G$1+'Décembre 2026'!$G$1+'Janvier 2027'!$G$1)+(('Juin 2026'!$G$1+'Juillet 2026'!$G$1+'Août 2026'!$G$1+'Septembre 2026'!$G$1+'Octobre 2026'!$G$1+'Novembre 2026'!$G$1+'Décembre 2026'!$G$1+'Janvier 2027'!$G$1)/(COUNT('Juin 2026'!B4:B40)+COUNT('Juillet 2026'!B4:B40)+COUNT('Août 2026'!B4:B40)+COUNT('Septembre 2026'!B4:B40)+COUNT('Octobre 2026'!B4:B40)+COUNT('Novembre 2026'!B4:B40)+COUNT('Décembre 2026'!B4:B40)+COUNT('Janvier 2027'!B4:B40)))*(31-(COUNT('Juin 2026'!B4:B40)+COUNT('Juillet 2026'!B4:B40)+COUNT('Août 2026'!B4:B40)+COUNT('Septembre 2026'!B4:B40)+COUNT('Octobre 2026'!B4:B40)+COUNT('Novembre 2026'!B4:B40)+COUNT('Décembre 2026'!B4:B40)+COUNT('Janvier 2027'!B4:B40))),Bord!$C$8+('Juin 2026'!$G$1+'Juillet 2026'!$G$1+'Août 2026'!$G$1+'Septembre 2026'!$G$1+'Octobre 2026'!$G$1+'Novembre 2026'!$G$1+'Décembre 2026'!$G$1+'Janvier 2027'!$G$1))</f>
        <v>1000</v>
      </c>
      <c r="C14" s="14"/>
    </row>
    <row r="15" customFormat="false" ht="15" hidden="false" customHeight="false" outlineLevel="0" collapsed="false">
      <c r="B15" s="15" t="s">
        <v>21</v>
      </c>
      <c r="C15" s="15"/>
    </row>
    <row r="16" customFormat="false" ht="19.7" hidden="false" customHeight="false" outlineLevel="0" collapsed="false">
      <c r="B16" s="16" t="n">
        <f aca="false">IFERROR((Bord!$C$8+('Juin 2026'!$G$1+'Juillet 2026'!$G$1+'Août 2026'!$G$1+'Septembre 2026'!$G$1+'Octobre 2026'!$G$1+'Novembre 2026'!$G$1+'Décembre 2026'!$G$1+'Janvier 2027'!$G$1))/Bord!$C$9,0)</f>
        <v>0.125</v>
      </c>
      <c r="C16" s="16"/>
    </row>
  </sheetData>
  <mergeCells count="9">
    <mergeCell ref="B1:F1"/>
    <mergeCell ref="B3:C3"/>
    <mergeCell ref="E3:F3"/>
    <mergeCell ref="B11:C11"/>
    <mergeCell ref="B12:C12"/>
    <mergeCell ref="B13:C13"/>
    <mergeCell ref="B14:C14"/>
    <mergeCell ref="B15:C15"/>
    <mergeCell ref="B16:C16"/>
  </mergeCells>
  <conditionalFormatting sqref="F4:F11">
    <cfRule type="dataBar" priority="2">
      <dataBar showValue="1" minLength="10" maxLength="90">
        <cfvo type="num" val="0"/>
        <cfvo type="max" val="0"/>
        <color rgb="FF16A34A"/>
      </dataBar>
      <extLst>
        <ext xmlns:x14="http://schemas.microsoft.com/office/spreadsheetml/2009/9/main" uri="{B025F937-C7B1-47D3-B67F-A62EFF666E3E}">
          <x14:id>{D06D1BAF-5781-4CC9-9DDF-EBF1C4134A43}</x14:id>
        </ext>
      </extLst>
    </cfRule>
  </conditionalFormatting>
  <conditionalFormatting sqref="B16">
    <cfRule type="dataBar" priority="3">
      <dataBar showValue="1" minLength="10" maxLength="90">
        <cfvo type="num" val="0"/>
        <cfvo type="num" val="1"/>
        <color rgb="FFB45309"/>
      </dataBar>
      <extLst>
        <ext xmlns:x14="http://schemas.microsoft.com/office/spreadsheetml/2009/9/main" uri="{B025F937-C7B1-47D3-B67F-A62EFF666E3E}">
          <x14:id>{B36F881B-E8D8-4948-8919-7A35A6F55DAF}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6D1BAF-5781-4CC9-9DDF-EBF1C4134A43}">
            <x14:dataBar minLength="10" maxLength="90" axisPosition="none" gradient="true">
              <x14:cfvo type="num">
                <xm:f>0</xm:f>
              </x14:cfvo>
              <x14:cfvo type="max"/>
              <x14:negativeFillColor rgb="FF16A34A"/>
              <x14:axisColor rgb="FF000000"/>
            </x14:dataBar>
          </x14:cfRule>
          <xm:sqref>F4:F11</xm:sqref>
        </x14:conditionalFormatting>
        <x14:conditionalFormatting xmlns:xm="http://schemas.microsoft.com/office/excel/2006/main">
          <x14:cfRule type="dataBar" id="{B36F881B-E8D8-4948-8919-7A35A6F55DA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45309"/>
              <x14:axisColor rgb="FF000000"/>
            </x14:dataBar>
          </x14:cfRule>
          <xm:sqref>B16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22</v>
      </c>
      <c r="B1" s="17"/>
      <c r="C1" s="17"/>
      <c r="D1" s="18" t="s">
        <v>23</v>
      </c>
      <c r="E1" s="18"/>
      <c r="F1" s="18"/>
      <c r="G1" s="19" t="n">
        <f aca="false">SUM(I4:I6)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34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35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  <row r="6" customFormat="false" ht="15" hidden="false" customHeight="false" outlineLevel="0" collapsed="false">
      <c r="A6" s="22" t="s">
        <v>36</v>
      </c>
      <c r="B6" s="23"/>
      <c r="C6" s="24" t="n">
        <f aca="false">IFERROR(B6/Bord!$C$4,"")</f>
        <v>0</v>
      </c>
      <c r="D6" s="23"/>
      <c r="E6" s="23"/>
      <c r="F6" s="23"/>
      <c r="G6" s="23"/>
      <c r="H6" s="23"/>
      <c r="I6" s="25" t="str">
        <f aca="false">IF(B6="","",B6+D6-Bord!$C$10-(E6+F6+G6)-H6)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37</v>
      </c>
      <c r="B1" s="17"/>
      <c r="C1" s="17"/>
      <c r="D1" s="18" t="s">
        <v>23</v>
      </c>
      <c r="E1" s="18"/>
      <c r="F1" s="18"/>
      <c r="G1" s="19" t="n">
        <f aca="false">SUM(I4:I7)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38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39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  <row r="6" customFormat="false" ht="15" hidden="false" customHeight="false" outlineLevel="0" collapsed="false">
      <c r="A6" s="22" t="s">
        <v>40</v>
      </c>
      <c r="B6" s="23"/>
      <c r="C6" s="24" t="n">
        <f aca="false">IFERROR(B6/Bord!$C$4,"")</f>
        <v>0</v>
      </c>
      <c r="D6" s="23"/>
      <c r="E6" s="23"/>
      <c r="F6" s="23"/>
      <c r="G6" s="23"/>
      <c r="H6" s="23"/>
      <c r="I6" s="25" t="str">
        <f aca="false">IF(B6="","",B6+D6-Bord!$C$10-(E6+F6+G6)-H6)</f>
        <v/>
      </c>
    </row>
    <row r="7" customFormat="false" ht="15" hidden="false" customHeight="false" outlineLevel="0" collapsed="false">
      <c r="A7" s="26" t="s">
        <v>41</v>
      </c>
      <c r="B7" s="23"/>
      <c r="C7" s="27" t="n">
        <f aca="false">IFERROR(B7/Bord!$C$4,"")</f>
        <v>0</v>
      </c>
      <c r="D7" s="23"/>
      <c r="E7" s="23"/>
      <c r="F7" s="23"/>
      <c r="G7" s="23"/>
      <c r="H7" s="23"/>
      <c r="I7" s="28" t="str">
        <f aca="false">IF(B7="","",B7+D7-Bord!$C$10-(E7+F7+G7)-H7)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42</v>
      </c>
      <c r="B1" s="17"/>
      <c r="C1" s="17"/>
      <c r="D1" s="18" t="s">
        <v>23</v>
      </c>
      <c r="E1" s="18"/>
      <c r="F1" s="18"/>
      <c r="G1" s="19" t="n">
        <f aca="false">SUM(I4:I8)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43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44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  <row r="6" customFormat="false" ht="15" hidden="false" customHeight="false" outlineLevel="0" collapsed="false">
      <c r="A6" s="22" t="s">
        <v>45</v>
      </c>
      <c r="B6" s="23"/>
      <c r="C6" s="24" t="n">
        <f aca="false">IFERROR(B6/Bord!$C$4,"")</f>
        <v>0</v>
      </c>
      <c r="D6" s="23"/>
      <c r="E6" s="23"/>
      <c r="F6" s="23"/>
      <c r="G6" s="23"/>
      <c r="H6" s="23"/>
      <c r="I6" s="25" t="str">
        <f aca="false">IF(B6="","",B6+D6-Bord!$C$10-(E6+F6+G6)-H6)</f>
        <v/>
      </c>
    </row>
    <row r="7" customFormat="false" ht="15" hidden="false" customHeight="false" outlineLevel="0" collapsed="false">
      <c r="A7" s="26" t="s">
        <v>46</v>
      </c>
      <c r="B7" s="23"/>
      <c r="C7" s="27" t="n">
        <f aca="false">IFERROR(B7/Bord!$C$4,"")</f>
        <v>0</v>
      </c>
      <c r="D7" s="23"/>
      <c r="E7" s="23"/>
      <c r="F7" s="23"/>
      <c r="G7" s="23"/>
      <c r="H7" s="23"/>
      <c r="I7" s="28" t="str">
        <f aca="false">IF(B7="","",B7+D7-Bord!$C$10-(E7+F7+G7)-H7)</f>
        <v/>
      </c>
    </row>
    <row r="8" customFormat="false" ht="15" hidden="false" customHeight="false" outlineLevel="0" collapsed="false">
      <c r="A8" s="22" t="s">
        <v>47</v>
      </c>
      <c r="B8" s="23"/>
      <c r="C8" s="24" t="n">
        <f aca="false">IFERROR(B8/Bord!$C$4,"")</f>
        <v>0</v>
      </c>
      <c r="D8" s="23"/>
      <c r="E8" s="23"/>
      <c r="F8" s="23"/>
      <c r="G8" s="23"/>
      <c r="H8" s="23"/>
      <c r="I8" s="25" t="str">
        <f aca="false">IF(B8="","",B8+D8-Bord!$C$10-(E8+F8+G8)-H8)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48</v>
      </c>
      <c r="B1" s="17"/>
      <c r="C1" s="17"/>
      <c r="D1" s="18" t="s">
        <v>23</v>
      </c>
      <c r="E1" s="18"/>
      <c r="F1" s="18"/>
      <c r="G1" s="19" t="n">
        <f aca="false">SUM(I4:I7)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49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50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  <row r="6" customFormat="false" ht="15" hidden="false" customHeight="false" outlineLevel="0" collapsed="false">
      <c r="A6" s="22" t="s">
        <v>51</v>
      </c>
      <c r="B6" s="23"/>
      <c r="C6" s="24" t="n">
        <f aca="false">IFERROR(B6/Bord!$C$4,"")</f>
        <v>0</v>
      </c>
      <c r="D6" s="23"/>
      <c r="E6" s="23"/>
      <c r="F6" s="23"/>
      <c r="G6" s="23"/>
      <c r="H6" s="23"/>
      <c r="I6" s="25" t="str">
        <f aca="false">IF(B6="","",B6+D6-Bord!$C$10-(E6+F6+G6)-H6)</f>
        <v/>
      </c>
    </row>
    <row r="7" customFormat="false" ht="15" hidden="false" customHeight="false" outlineLevel="0" collapsed="false">
      <c r="A7" s="26" t="s">
        <v>52</v>
      </c>
      <c r="B7" s="23"/>
      <c r="C7" s="27" t="n">
        <f aca="false">IFERROR(B7/Bord!$C$4,"")</f>
        <v>0</v>
      </c>
      <c r="D7" s="23"/>
      <c r="E7" s="23"/>
      <c r="F7" s="23"/>
      <c r="G7" s="23"/>
      <c r="H7" s="23"/>
      <c r="I7" s="28" t="str">
        <f aca="false">IF(B7="","",B7+D7-Bord!$C$10-(E7+F7+G7)-H7)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53</v>
      </c>
      <c r="B1" s="17"/>
      <c r="C1" s="17"/>
      <c r="D1" s="18" t="s">
        <v>23</v>
      </c>
      <c r="E1" s="18"/>
      <c r="F1" s="18"/>
      <c r="G1" s="19" t="n">
        <f aca="false">SUM(I4:I7)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54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55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  <row r="6" customFormat="false" ht="15" hidden="false" customHeight="false" outlineLevel="0" collapsed="false">
      <c r="A6" s="22" t="s">
        <v>56</v>
      </c>
      <c r="B6" s="23"/>
      <c r="C6" s="24" t="n">
        <f aca="false">IFERROR(B6/Bord!$C$4,"")</f>
        <v>0</v>
      </c>
      <c r="D6" s="23"/>
      <c r="E6" s="23"/>
      <c r="F6" s="23"/>
      <c r="G6" s="23"/>
      <c r="H6" s="23"/>
      <c r="I6" s="25" t="str">
        <f aca="false">IF(B6="","",B6+D6-Bord!$C$10-(E6+F6+G6)-H6)</f>
        <v/>
      </c>
    </row>
    <row r="7" customFormat="false" ht="15" hidden="false" customHeight="false" outlineLevel="0" collapsed="false">
      <c r="A7" s="26" t="s">
        <v>57</v>
      </c>
      <c r="B7" s="23"/>
      <c r="C7" s="27" t="n">
        <f aca="false">IFERROR(B7/Bord!$C$4,"")</f>
        <v>0</v>
      </c>
      <c r="D7" s="23"/>
      <c r="E7" s="23"/>
      <c r="F7" s="23"/>
      <c r="G7" s="23"/>
      <c r="H7" s="23"/>
      <c r="I7" s="28" t="str">
        <f aca="false">IF(B7="","",B7+D7-Bord!$C$10-(E7+F7+G7)-H7)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58</v>
      </c>
      <c r="B1" s="17"/>
      <c r="C1" s="17"/>
      <c r="D1" s="18" t="s">
        <v>23</v>
      </c>
      <c r="E1" s="18"/>
      <c r="F1" s="18"/>
      <c r="G1" s="19" t="n">
        <f aca="false">SUM(I4:I8)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59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60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  <row r="6" customFormat="false" ht="15" hidden="false" customHeight="false" outlineLevel="0" collapsed="false">
      <c r="A6" s="22" t="s">
        <v>61</v>
      </c>
      <c r="B6" s="23"/>
      <c r="C6" s="24" t="n">
        <f aca="false">IFERROR(B6/Bord!$C$4,"")</f>
        <v>0</v>
      </c>
      <c r="D6" s="23"/>
      <c r="E6" s="23"/>
      <c r="F6" s="23"/>
      <c r="G6" s="23"/>
      <c r="H6" s="23"/>
      <c r="I6" s="25" t="str">
        <f aca="false">IF(B6="","",B6+D6-Bord!$C$10-(E6+F6+G6)-H6)</f>
        <v/>
      </c>
    </row>
    <row r="7" customFormat="false" ht="15" hidden="false" customHeight="false" outlineLevel="0" collapsed="false">
      <c r="A7" s="26" t="s">
        <v>62</v>
      </c>
      <c r="B7" s="23"/>
      <c r="C7" s="27" t="n">
        <f aca="false">IFERROR(B7/Bord!$C$4,"")</f>
        <v>0</v>
      </c>
      <c r="D7" s="23"/>
      <c r="E7" s="23"/>
      <c r="F7" s="23"/>
      <c r="G7" s="23"/>
      <c r="H7" s="23"/>
      <c r="I7" s="28" t="str">
        <f aca="false">IF(B7="","",B7+D7-Bord!$C$10-(E7+F7+G7)-H7)</f>
        <v/>
      </c>
    </row>
    <row r="8" customFormat="false" ht="15" hidden="false" customHeight="false" outlineLevel="0" collapsed="false">
      <c r="A8" s="22" t="s">
        <v>63</v>
      </c>
      <c r="B8" s="23"/>
      <c r="C8" s="24" t="n">
        <f aca="false">IFERROR(B8/Bord!$C$4,"")</f>
        <v>0</v>
      </c>
      <c r="D8" s="23"/>
      <c r="E8" s="23"/>
      <c r="F8" s="23"/>
      <c r="G8" s="23"/>
      <c r="H8" s="23"/>
      <c r="I8" s="25" t="str">
        <f aca="false">IF(B8="","",B8+D8-Bord!$C$10-(E8+F8+G8)-H8)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64</v>
      </c>
      <c r="B1" s="17"/>
      <c r="C1" s="17"/>
      <c r="D1" s="18" t="s">
        <v>23</v>
      </c>
      <c r="E1" s="18"/>
      <c r="F1" s="18"/>
      <c r="G1" s="19" t="n">
        <f aca="false">SUM(I4:I7)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65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66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  <row r="6" customFormat="false" ht="15" hidden="false" customHeight="false" outlineLevel="0" collapsed="false">
      <c r="A6" s="22" t="s">
        <v>67</v>
      </c>
      <c r="B6" s="23"/>
      <c r="C6" s="24" t="n">
        <f aca="false">IFERROR(B6/Bord!$C$4,"")</f>
        <v>0</v>
      </c>
      <c r="D6" s="23"/>
      <c r="E6" s="23"/>
      <c r="F6" s="23"/>
      <c r="G6" s="23"/>
      <c r="H6" s="23"/>
      <c r="I6" s="25" t="str">
        <f aca="false">IF(B6="","",B6+D6-Bord!$C$10-(E6+F6+G6)-H6)</f>
        <v/>
      </c>
    </row>
    <row r="7" customFormat="false" ht="15" hidden="false" customHeight="false" outlineLevel="0" collapsed="false">
      <c r="A7" s="26" t="s">
        <v>68</v>
      </c>
      <c r="B7" s="23"/>
      <c r="C7" s="27" t="n">
        <f aca="false">IFERROR(B7/Bord!$C$4,"")</f>
        <v>0</v>
      </c>
      <c r="D7" s="23"/>
      <c r="E7" s="23"/>
      <c r="F7" s="23"/>
      <c r="G7" s="23"/>
      <c r="H7" s="23"/>
      <c r="I7" s="28" t="str">
        <f aca="false">IF(B7="","",B7+D7-Bord!$C$10-(E7+F7+G7)-H7)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8" min="4" style="0" width="8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7" t="s">
        <v>69</v>
      </c>
      <c r="B1" s="17"/>
      <c r="C1" s="17"/>
      <c r="D1" s="18" t="s">
        <v>23</v>
      </c>
      <c r="E1" s="18"/>
      <c r="F1" s="18"/>
      <c r="G1" s="19" t="n">
        <f aca="false">SUM(I4:I5)</f>
        <v>0</v>
      </c>
      <c r="H1" s="19"/>
      <c r="I1" s="19"/>
    </row>
    <row r="2" customFormat="false" ht="15" hidden="false" customHeight="false" outlineLevel="0" collapsed="false">
      <c r="A2" s="20" t="s">
        <v>24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21" t="s">
        <v>25</v>
      </c>
      <c r="B3" s="21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  <c r="I3" s="21" t="s">
        <v>33</v>
      </c>
    </row>
    <row r="4" customFormat="false" ht="15" hidden="false" customHeight="false" outlineLevel="0" collapsed="false">
      <c r="A4" s="22" t="s">
        <v>70</v>
      </c>
      <c r="B4" s="23"/>
      <c r="C4" s="24" t="n">
        <f aca="false">IFERROR(B4/Bord!$C$4,"")</f>
        <v>0</v>
      </c>
      <c r="D4" s="23"/>
      <c r="E4" s="23"/>
      <c r="F4" s="23"/>
      <c r="G4" s="23"/>
      <c r="H4" s="23"/>
      <c r="I4" s="25" t="str">
        <f aca="false">IF(B4="","",B4+D4-Bord!$C$10-(E4+F4+G4)-H4)</f>
        <v/>
      </c>
    </row>
    <row r="5" customFormat="false" ht="15" hidden="false" customHeight="false" outlineLevel="0" collapsed="false">
      <c r="A5" s="26" t="s">
        <v>71</v>
      </c>
      <c r="B5" s="23"/>
      <c r="C5" s="27" t="n">
        <f aca="false">IFERROR(B5/Bord!$C$4,"")</f>
        <v>0</v>
      </c>
      <c r="D5" s="23"/>
      <c r="E5" s="23"/>
      <c r="F5" s="23"/>
      <c r="G5" s="23"/>
      <c r="H5" s="23"/>
      <c r="I5" s="28" t="str">
        <f aca="false">IF(B5="","",B5+D5-Bord!$C$10-(E5+F5+G5)-H5)</f>
        <v/>
      </c>
    </row>
  </sheetData>
  <mergeCells count="4">
    <mergeCell ref="A1:C1"/>
    <mergeCell ref="D1:F1"/>
    <mergeCell ref="G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2026-06-14T21:22:07Z</dcterms:created>
  <dc:creator>openpyxl</dc:creator>
  <dc:description/>
  <dc:language>en-US</dc:language>
  <cp:lastModifiedBy/>
  <dcterms:modified xsi:type="dcterms:W3CDTF">2026-06-14T21:22:07Z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